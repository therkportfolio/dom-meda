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phcn.vic.gov.au\users\home\r5699\Documents\Consultant Work\"/>
    </mc:Choice>
  </mc:AlternateContent>
  <bookViews>
    <workbookView xWindow="0" yWindow="0" windowWidth="28800" windowHeight="12300"/>
  </bookViews>
  <sheets>
    <sheet name="Input Data" sheetId="1" r:id="rId1"/>
    <sheet name="Modifying Data" sheetId="3" r:id="rId2"/>
    <sheet name="Output Data" sheetId="2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2" i="3"/>
  <c r="B12" i="2" l="1"/>
  <c r="B13" i="2" s="1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2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G61" i="3" a="1"/>
  <c r="G61" i="3" s="1"/>
  <c r="H61" i="3" s="1"/>
  <c r="G62" i="3" a="1"/>
  <c r="G62" i="3" s="1"/>
  <c r="H62" i="3" s="1"/>
  <c r="G1" i="3"/>
  <c r="D61" i="3" a="1"/>
  <c r="D61" i="3" s="1"/>
  <c r="E61" i="3" s="1"/>
  <c r="D62" i="3" a="1"/>
  <c r="D62" i="3" s="1"/>
  <c r="E62" i="3" s="1"/>
  <c r="A61" i="3" a="1"/>
  <c r="A61" i="3" s="1"/>
  <c r="B61" i="3" s="1"/>
  <c r="A62" i="3" a="1"/>
  <c r="A62" i="3" s="1"/>
  <c r="B62" i="3" s="1"/>
  <c r="D1" i="3"/>
  <c r="A1" i="3"/>
  <c r="C10" i="2"/>
  <c r="E9" i="2"/>
  <c r="D9" i="2"/>
  <c r="C9" i="2"/>
  <c r="C8" i="2"/>
  <c r="E7" i="2"/>
  <c r="D7" i="2"/>
  <c r="C7" i="2"/>
  <c r="D3" i="2"/>
  <c r="C3" i="2"/>
  <c r="C6" i="2"/>
  <c r="C5" i="2"/>
  <c r="C4" i="2"/>
  <c r="E3" i="2"/>
  <c r="C2" i="2"/>
  <c r="H18" i="3" l="1"/>
  <c r="H12" i="3"/>
  <c r="H6" i="3"/>
  <c r="E18" i="3"/>
  <c r="E12" i="3"/>
  <c r="E6" i="3"/>
  <c r="B17" i="3"/>
  <c r="B10" i="3"/>
  <c r="B4" i="3"/>
  <c r="H2" i="3"/>
  <c r="H8" i="3"/>
  <c r="E14" i="3"/>
  <c r="B19" i="3"/>
  <c r="H13" i="3"/>
  <c r="E19" i="3"/>
  <c r="E7" i="3"/>
  <c r="B18" i="3"/>
  <c r="B5" i="3"/>
  <c r="H17" i="3"/>
  <c r="H11" i="3"/>
  <c r="H5" i="3"/>
  <c r="E17" i="3"/>
  <c r="E11" i="3"/>
  <c r="E5" i="3"/>
  <c r="B15" i="3"/>
  <c r="B9" i="3"/>
  <c r="B3" i="3"/>
  <c r="H20" i="3"/>
  <c r="E2" i="3"/>
  <c r="E20" i="3"/>
  <c r="E8" i="3"/>
  <c r="B12" i="3"/>
  <c r="H19" i="3"/>
  <c r="H7" i="3"/>
  <c r="E13" i="3"/>
  <c r="B11" i="3"/>
  <c r="H16" i="3"/>
  <c r="H10" i="3"/>
  <c r="H4" i="3"/>
  <c r="E16" i="3"/>
  <c r="E10" i="3"/>
  <c r="E4" i="3"/>
  <c r="B21" i="3"/>
  <c r="B14" i="3"/>
  <c r="B8" i="3"/>
  <c r="B16" i="3"/>
  <c r="H14" i="3"/>
  <c r="B6" i="3"/>
  <c r="H21" i="3"/>
  <c r="H15" i="3"/>
  <c r="H9" i="3"/>
  <c r="H3" i="3"/>
  <c r="E21" i="3"/>
  <c r="E15" i="3"/>
  <c r="E9" i="3"/>
  <c r="E3" i="3"/>
  <c r="B20" i="3"/>
  <c r="B13" i="3"/>
  <c r="B7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<sst xmlns="http://schemas.openxmlformats.org/spreadsheetml/2006/main" count="33" uniqueCount="33">
  <si>
    <t>Unit</t>
  </si>
  <si>
    <t>Sex</t>
  </si>
  <si>
    <t>Month</t>
  </si>
  <si>
    <t>Age</t>
  </si>
  <si>
    <t>D/C Summary</t>
  </si>
  <si>
    <t>Care of Dying</t>
  </si>
  <si>
    <t>Correct Death Certificate</t>
  </si>
  <si>
    <t>Coroners</t>
  </si>
  <si>
    <t>Consultant</t>
  </si>
  <si>
    <t>Unanticipated Death</t>
  </si>
  <si>
    <t>Resus form - initial</t>
  </si>
  <si>
    <t>Resus form - updated</t>
  </si>
  <si>
    <t>Goals of care discussed and documented</t>
  </si>
  <si>
    <t>ICU stay</t>
  </si>
  <si>
    <t>Time to death on COD (Hrs)</t>
  </si>
  <si>
    <t>Length of stay (days)</t>
  </si>
  <si>
    <t>Takeover from surgery</t>
  </si>
  <si>
    <t>UR</t>
  </si>
  <si>
    <t>COMMENTS</t>
  </si>
  <si>
    <t>No of MET calls</t>
  </si>
  <si>
    <t>ACD (DATE)</t>
  </si>
  <si>
    <t>Year</t>
  </si>
  <si>
    <t>Resus form - EMR</t>
  </si>
  <si>
    <t>Admitted from</t>
  </si>
  <si>
    <t>Total Number of Deaths</t>
  </si>
  <si>
    <t>Number of MET Calls</t>
  </si>
  <si>
    <t>No Resus / One Resus Form</t>
  </si>
  <si>
    <t>Advanced Care Directive</t>
  </si>
  <si>
    <t>Discharge Summaries Completed</t>
  </si>
  <si>
    <t xml:space="preserve">Time on Care of Dying </t>
  </si>
  <si>
    <t>Coroner Cases</t>
  </si>
  <si>
    <t>Length of Stay</t>
  </si>
  <si>
    <t>Death in ICU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</si>
</sst>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7" fontId="0" fillId="0" borderId="0" xfId="0" applyNumberFormat="1"/>
    <xf numFmtId="14" fontId="0" fillId="0" borderId="0" xfId="0" applyNumberFormat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22"/>
  <sheetViews>
    <sheetView tabSelected="1" workbookViewId="0">
      <selection activeCell="D12" sqref="D12"/>
    </sheetView>
  </sheetViews>
  <sheetFormatPr defaultRowHeight="15" x14ac:dyDescent="0.25"/>
  <cols>
    <col min="1" max="7" width="12.42578125" customWidth="1"/>
    <col min="8" max="8" width="13" bestFit="1" customWidth="1"/>
    <col min="9" max="9" width="19.85546875" bestFit="1" customWidth="1"/>
    <col min="10" max="10" width="22" customWidth="1"/>
    <col min="11" max="11" width="19.5703125" customWidth="1"/>
    <col min="12" max="12" width="13.5703125" customWidth="1"/>
    <col min="13" max="13" width="20.28515625" customWidth="1"/>
    <col min="14" max="14" width="16.28515625" customWidth="1"/>
    <col min="15" max="15" width="18.85546875" bestFit="1" customWidth="1"/>
    <col min="16" max="16" width="15.5703125" bestFit="1" customWidth="1"/>
    <col min="17" max="17" width="35.28515625" bestFit="1" customWidth="1"/>
    <col min="18" max="18" width="18.85546875" customWidth="1"/>
    <col min="19" max="19" width="17" customWidth="1"/>
    <col min="20" max="20" width="24" bestFit="1" customWidth="1"/>
    <col min="21" max="21" width="21.5703125" bestFit="1" customWidth="1"/>
    <col min="22" max="22" width="14.140625" customWidth="1"/>
    <col min="23" max="23" width="18.140625" bestFit="1" customWidth="1"/>
  </cols>
  <sheetData>
    <row r="1" spans="1:29" x14ac:dyDescent="0.25">
      <c r="A1" t="s">
        <v>21</v>
      </c>
      <c r="B1" t="s">
        <v>2</v>
      </c>
      <c r="C1" t="s">
        <v>0</v>
      </c>
      <c r="D1" t="s">
        <v>8</v>
      </c>
      <c r="E1" t="s">
        <v>1</v>
      </c>
      <c r="F1" s="1" t="s">
        <v>17</v>
      </c>
      <c r="G1" t="s">
        <v>3</v>
      </c>
      <c r="H1" t="s">
        <v>23</v>
      </c>
      <c r="I1" t="s">
        <v>16</v>
      </c>
      <c r="J1" t="s">
        <v>9</v>
      </c>
      <c r="K1" t="s">
        <v>19</v>
      </c>
      <c r="L1" t="s">
        <v>13</v>
      </c>
      <c r="M1" t="s">
        <v>10</v>
      </c>
      <c r="N1" t="s">
        <v>20</v>
      </c>
      <c r="O1" t="s">
        <v>11</v>
      </c>
      <c r="P1" t="s">
        <v>22</v>
      </c>
      <c r="Q1" t="s">
        <v>12</v>
      </c>
      <c r="R1" t="s">
        <v>4</v>
      </c>
      <c r="S1" t="s">
        <v>5</v>
      </c>
      <c r="T1" t="s">
        <v>14</v>
      </c>
      <c r="U1" t="s">
        <v>6</v>
      </c>
      <c r="V1" t="s">
        <v>7</v>
      </c>
      <c r="W1" t="s">
        <v>15</v>
      </c>
      <c r="Y1" s="5" t="s">
        <v>18</v>
      </c>
      <c r="Z1" s="5"/>
      <c r="AA1" s="5"/>
      <c r="AB1" s="5"/>
      <c r="AC1" s="5"/>
    </row>
    <row r="2" spans="1:29" x14ac:dyDescent="0.25">
      <c r="B2" s="2"/>
      <c r="F2" s="1"/>
      <c r="X2" s="6"/>
    </row>
    <row r="3" spans="1:29" x14ac:dyDescent="0.25">
      <c r="F3" s="1"/>
      <c r="N3" s="3"/>
    </row>
    <row r="4" spans="1:29" x14ac:dyDescent="0.25">
      <c r="F4" s="1"/>
    </row>
    <row r="5" spans="1:29" x14ac:dyDescent="0.25">
      <c r="F5" s="1"/>
    </row>
    <row r="6" spans="1:29" x14ac:dyDescent="0.25">
      <c r="F6" s="1"/>
    </row>
    <row r="7" spans="1:29" x14ac:dyDescent="0.25">
      <c r="F7" s="1"/>
    </row>
    <row r="8" spans="1:29" x14ac:dyDescent="0.25">
      <c r="F8" s="1"/>
    </row>
    <row r="9" spans="1:29" x14ac:dyDescent="0.25">
      <c r="F9" s="1"/>
    </row>
    <row r="10" spans="1:29" x14ac:dyDescent="0.25">
      <c r="F10" s="1"/>
    </row>
    <row r="11" spans="1:29" x14ac:dyDescent="0.25">
      <c r="F11" s="1"/>
    </row>
    <row r="12" spans="1:29" x14ac:dyDescent="0.25">
      <c r="F12" s="1"/>
    </row>
    <row r="13" spans="1:29" x14ac:dyDescent="0.25">
      <c r="F13" s="1"/>
    </row>
    <row r="14" spans="1:29" x14ac:dyDescent="0.25">
      <c r="F14" s="1"/>
    </row>
    <row r="15" spans="1:29" x14ac:dyDescent="0.25">
      <c r="F15" s="1"/>
    </row>
    <row r="16" spans="1:29" x14ac:dyDescent="0.25">
      <c r="F16" s="1"/>
    </row>
    <row r="17" spans="6:14" x14ac:dyDescent="0.25">
      <c r="F17" s="1"/>
    </row>
    <row r="18" spans="6:14" x14ac:dyDescent="0.25">
      <c r="F18" s="1"/>
    </row>
    <row r="19" spans="6:14" x14ac:dyDescent="0.25">
      <c r="F19" s="1"/>
    </row>
    <row r="20" spans="6:14" x14ac:dyDescent="0.25">
      <c r="F20" s="1"/>
    </row>
    <row r="21" spans="6:14" x14ac:dyDescent="0.25">
      <c r="F21" s="1"/>
    </row>
    <row r="22" spans="6:14" x14ac:dyDescent="0.25">
      <c r="N22" s="4"/>
    </row>
  </sheetData>
  <mergeCells count="1">
    <mergeCell ref="Y1:AC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2"/>
  <sheetViews>
    <sheetView zoomScaleNormal="100" workbookViewId="0">
      <selection activeCell="M13" sqref="M13"/>
    </sheetView>
  </sheetViews>
  <sheetFormatPr defaultRowHeight="15" x14ac:dyDescent="0.25"/>
  <cols>
    <col min="14" max="16" width="8.7109375" customWidth="1"/>
    <col min="17" max="17" width="15.28515625" customWidth="1"/>
  </cols>
  <sheetData>
    <row r="1" spans="1:8" x14ac:dyDescent="0.25">
      <c r="A1" t="str">
        <f>'Input Data'!C1</f>
        <v>Unit</v>
      </c>
      <c r="D1" t="str">
        <f>'Input Data'!E1</f>
        <v>Sex</v>
      </c>
      <c r="G1" t="str">
        <f>'Input Data'!H1</f>
        <v>Admitted from</v>
      </c>
    </row>
    <row r="2" spans="1:8" x14ac:dyDescent="0.25">
      <c r="A2" t="str">
        <f>IF('Input Data'!C2&lt;&gt;"",TRIM('Input Data'!C2),"")</f>
        <v/>
      </c>
      <c r="B2" t="str">
        <f>IF(A2&lt;&gt;"",1,"")</f>
        <v/>
      </c>
      <c r="D2" t="str">
        <f>IF('Input Data'!E2&lt;&gt;"",TRIM('Input Data'!E2),"")</f>
        <v/>
      </c>
      <c r="E2" t="str">
        <f>IF(D2&lt;&gt;"",1,"")</f>
        <v/>
      </c>
      <c r="G2" t="str">
        <f>IF('Input Data'!H2&lt;&gt;"",TRIM('Input Data'!H2),"")</f>
        <v/>
      </c>
      <c r="H2" t="str">
        <f>IF(G2&lt;&gt;"",1,"")</f>
        <v/>
      </c>
    </row>
    <row r="3" spans="1:8" x14ac:dyDescent="0.25">
      <c r="A3" t="str">
        <f>IF('Input Data'!C3&lt;&gt;"",TRIM('Input Data'!C3),"")</f>
        <v/>
      </c>
      <c r="B3" t="str">
        <f t="shared" ref="B3:B62" si="0">IF(A3&lt;&gt;"",1,"")</f>
        <v/>
      </c>
      <c r="D3" t="str">
        <f>IF('Input Data'!E3&lt;&gt;"",TRIM('Input Data'!E3),"")</f>
        <v/>
      </c>
      <c r="E3" t="str">
        <f t="shared" ref="E3:E62" si="1">IF(D3&lt;&gt;"",1,"")</f>
        <v/>
      </c>
      <c r="G3" t="str">
        <f>IF('Input Data'!H3&lt;&gt;"",TRIM('Input Data'!H3),"")</f>
        <v/>
      </c>
      <c r="H3" t="str">
        <f t="shared" ref="H3:H62" si="2">IF(G3&lt;&gt;"",1,"")</f>
        <v/>
      </c>
    </row>
    <row r="4" spans="1:8" x14ac:dyDescent="0.25">
      <c r="A4" t="str">
        <f>IF('Input Data'!C4&lt;&gt;"",TRIM('Input Data'!C4),"")</f>
        <v/>
      </c>
      <c r="B4" t="str">
        <f t="shared" si="0"/>
        <v/>
      </c>
      <c r="D4" t="str">
        <f>IF('Input Data'!E4&lt;&gt;"",TRIM('Input Data'!E4),"")</f>
        <v/>
      </c>
      <c r="E4" t="str">
        <f t="shared" si="1"/>
        <v/>
      </c>
      <c r="G4" t="str">
        <f>IF('Input Data'!H4&lt;&gt;"",TRIM('Input Data'!H4),"")</f>
        <v/>
      </c>
      <c r="H4" t="str">
        <f t="shared" si="2"/>
        <v/>
      </c>
    </row>
    <row r="5" spans="1:8" x14ac:dyDescent="0.25">
      <c r="A5" t="str">
        <f>IF('Input Data'!C5&lt;&gt;"",TRIM('Input Data'!C5),"")</f>
        <v/>
      </c>
      <c r="B5" t="str">
        <f t="shared" si="0"/>
        <v/>
      </c>
      <c r="D5" t="str">
        <f>IF('Input Data'!E5&lt;&gt;"",TRIM('Input Data'!E5),"")</f>
        <v/>
      </c>
      <c r="E5" t="str">
        <f t="shared" si="1"/>
        <v/>
      </c>
      <c r="G5" t="str">
        <f>IF('Input Data'!H5&lt;&gt;"",TRIM('Input Data'!H5),"")</f>
        <v/>
      </c>
      <c r="H5" t="str">
        <f t="shared" si="2"/>
        <v/>
      </c>
    </row>
    <row r="6" spans="1:8" x14ac:dyDescent="0.25">
      <c r="A6" t="str">
        <f>IF('Input Data'!C6&lt;&gt;"",TRIM('Input Data'!C6),"")</f>
        <v/>
      </c>
      <c r="B6" t="str">
        <f t="shared" si="0"/>
        <v/>
      </c>
      <c r="D6" t="str">
        <f>IF('Input Data'!E6&lt;&gt;"",TRIM('Input Data'!E6),"")</f>
        <v/>
      </c>
      <c r="E6" t="str">
        <f t="shared" si="1"/>
        <v/>
      </c>
      <c r="G6" t="str">
        <f>IF('Input Data'!H6&lt;&gt;"",TRIM('Input Data'!H6),"")</f>
        <v/>
      </c>
      <c r="H6" t="str">
        <f t="shared" si="2"/>
        <v/>
      </c>
    </row>
    <row r="7" spans="1:8" x14ac:dyDescent="0.25">
      <c r="A7" t="str">
        <f>IF('Input Data'!C7&lt;&gt;"",TRIM('Input Data'!C7),"")</f>
        <v/>
      </c>
      <c r="B7" t="str">
        <f t="shared" si="0"/>
        <v/>
      </c>
      <c r="D7" t="str">
        <f>IF('Input Data'!E7&lt;&gt;"",TRIM('Input Data'!E7),"")</f>
        <v/>
      </c>
      <c r="E7" t="str">
        <f t="shared" si="1"/>
        <v/>
      </c>
      <c r="G7" t="str">
        <f>IF('Input Data'!H7&lt;&gt;"",TRIM('Input Data'!H7),"")</f>
        <v/>
      </c>
      <c r="H7" t="str">
        <f t="shared" si="2"/>
        <v/>
      </c>
    </row>
    <row r="8" spans="1:8" x14ac:dyDescent="0.25">
      <c r="A8" t="str">
        <f>IF('Input Data'!C8&lt;&gt;"",TRIM('Input Data'!C8),"")</f>
        <v/>
      </c>
      <c r="B8" t="str">
        <f t="shared" si="0"/>
        <v/>
      </c>
      <c r="D8" t="str">
        <f>IF('Input Data'!E8&lt;&gt;"",TRIM('Input Data'!E8),"")</f>
        <v/>
      </c>
      <c r="E8" t="str">
        <f t="shared" si="1"/>
        <v/>
      </c>
      <c r="G8" t="str">
        <f>IF('Input Data'!H8&lt;&gt;"",TRIM('Input Data'!H8),"")</f>
        <v/>
      </c>
      <c r="H8" t="str">
        <f t="shared" si="2"/>
        <v/>
      </c>
    </row>
    <row r="9" spans="1:8" x14ac:dyDescent="0.25">
      <c r="A9" t="str">
        <f>IF('Input Data'!C9&lt;&gt;"",TRIM('Input Data'!C9),"")</f>
        <v/>
      </c>
      <c r="B9" t="str">
        <f t="shared" si="0"/>
        <v/>
      </c>
      <c r="D9" t="str">
        <f>IF('Input Data'!E9&lt;&gt;"",TRIM('Input Data'!E9),"")</f>
        <v/>
      </c>
      <c r="E9" t="str">
        <f t="shared" si="1"/>
        <v/>
      </c>
      <c r="G9" t="str">
        <f>IF('Input Data'!H9&lt;&gt;"",TRIM('Input Data'!H9),"")</f>
        <v/>
      </c>
      <c r="H9" t="str">
        <f t="shared" si="2"/>
        <v/>
      </c>
    </row>
    <row r="10" spans="1:8" x14ac:dyDescent="0.25">
      <c r="A10" t="str">
        <f>IF('Input Data'!C10&lt;&gt;"",TRIM('Input Data'!C10),"")</f>
        <v/>
      </c>
      <c r="B10" t="str">
        <f t="shared" si="0"/>
        <v/>
      </c>
      <c r="D10" t="str">
        <f>IF('Input Data'!E10&lt;&gt;"",TRIM('Input Data'!E10),"")</f>
        <v/>
      </c>
      <c r="E10" t="str">
        <f t="shared" si="1"/>
        <v/>
      </c>
      <c r="G10" t="str">
        <f>IF('Input Data'!H10&lt;&gt;"",TRIM('Input Data'!H10),"")</f>
        <v/>
      </c>
      <c r="H10" t="str">
        <f t="shared" si="2"/>
        <v/>
      </c>
    </row>
    <row r="11" spans="1:8" x14ac:dyDescent="0.25">
      <c r="A11" t="str">
        <f>IF('Input Data'!C11&lt;&gt;"",TRIM('Input Data'!C11),"")</f>
        <v/>
      </c>
      <c r="B11" t="str">
        <f t="shared" si="0"/>
        <v/>
      </c>
      <c r="D11" t="str">
        <f>IF('Input Data'!E11&lt;&gt;"",TRIM('Input Data'!E11),"")</f>
        <v/>
      </c>
      <c r="E11" t="str">
        <f t="shared" si="1"/>
        <v/>
      </c>
      <c r="G11" t="str">
        <f>IF('Input Data'!H11&lt;&gt;"",TRIM('Input Data'!H11),"")</f>
        <v/>
      </c>
      <c r="H11" t="str">
        <f t="shared" si="2"/>
        <v/>
      </c>
    </row>
    <row r="12" spans="1:8" x14ac:dyDescent="0.25">
      <c r="A12" t="str">
        <f>IF('Input Data'!C12&lt;&gt;"",TRIM('Input Data'!C12),"")</f>
        <v/>
      </c>
      <c r="B12" t="str">
        <f t="shared" si="0"/>
        <v/>
      </c>
      <c r="D12" t="str">
        <f>IF('Input Data'!E12&lt;&gt;"",TRIM('Input Data'!E12),"")</f>
        <v/>
      </c>
      <c r="E12" t="str">
        <f t="shared" si="1"/>
        <v/>
      </c>
      <c r="G12" t="str">
        <f>IF('Input Data'!H12&lt;&gt;"",TRIM('Input Data'!H12),"")</f>
        <v/>
      </c>
      <c r="H12" t="str">
        <f t="shared" si="2"/>
        <v/>
      </c>
    </row>
    <row r="13" spans="1:8" x14ac:dyDescent="0.25">
      <c r="A13" t="str">
        <f>IF('Input Data'!C13&lt;&gt;"",TRIM('Input Data'!C13),"")</f>
        <v/>
      </c>
      <c r="B13" t="str">
        <f t="shared" si="0"/>
        <v/>
      </c>
      <c r="D13" t="str">
        <f>IF('Input Data'!E13&lt;&gt;"",TRIM('Input Data'!E13),"")</f>
        <v/>
      </c>
      <c r="E13" t="str">
        <f t="shared" si="1"/>
        <v/>
      </c>
      <c r="G13" t="str">
        <f>IF('Input Data'!H13&lt;&gt;"",TRIM('Input Data'!H13),"")</f>
        <v/>
      </c>
      <c r="H13" t="str">
        <f t="shared" si="2"/>
        <v/>
      </c>
    </row>
    <row r="14" spans="1:8" x14ac:dyDescent="0.25">
      <c r="A14" t="str">
        <f>IF('Input Data'!C14&lt;&gt;"",TRIM('Input Data'!C14),"")</f>
        <v/>
      </c>
      <c r="B14" t="str">
        <f t="shared" si="0"/>
        <v/>
      </c>
      <c r="D14" t="str">
        <f>IF('Input Data'!E14&lt;&gt;"",TRIM('Input Data'!E14),"")</f>
        <v/>
      </c>
      <c r="E14" t="str">
        <f t="shared" si="1"/>
        <v/>
      </c>
      <c r="G14" t="str">
        <f>IF('Input Data'!H14&lt;&gt;"",TRIM('Input Data'!H14),"")</f>
        <v/>
      </c>
      <c r="H14" t="str">
        <f t="shared" si="2"/>
        <v/>
      </c>
    </row>
    <row r="15" spans="1:8" x14ac:dyDescent="0.25">
      <c r="A15" t="str">
        <f>IF('Input Data'!C15&lt;&gt;"",TRIM('Input Data'!C15),"")</f>
        <v/>
      </c>
      <c r="B15" t="str">
        <f t="shared" si="0"/>
        <v/>
      </c>
      <c r="D15" t="str">
        <f>IF('Input Data'!E15&lt;&gt;"",TRIM('Input Data'!E15),"")</f>
        <v/>
      </c>
      <c r="E15" t="str">
        <f t="shared" si="1"/>
        <v/>
      </c>
      <c r="G15" t="str">
        <f>IF('Input Data'!H15&lt;&gt;"",TRIM('Input Data'!H15),"")</f>
        <v/>
      </c>
      <c r="H15" t="str">
        <f t="shared" si="2"/>
        <v/>
      </c>
    </row>
    <row r="16" spans="1:8" x14ac:dyDescent="0.25">
      <c r="A16" t="str">
        <f>IF('Input Data'!C16&lt;&gt;"",TRIM('Input Data'!C16),"")</f>
        <v/>
      </c>
      <c r="B16" t="str">
        <f t="shared" si="0"/>
        <v/>
      </c>
      <c r="D16" t="str">
        <f>IF('Input Data'!E16&lt;&gt;"",TRIM('Input Data'!E16),"")</f>
        <v/>
      </c>
      <c r="E16" t="str">
        <f t="shared" si="1"/>
        <v/>
      </c>
      <c r="G16" t="str">
        <f>IF('Input Data'!H16&lt;&gt;"",TRIM('Input Data'!H16),"")</f>
        <v/>
      </c>
      <c r="H16" t="str">
        <f t="shared" si="2"/>
        <v/>
      </c>
    </row>
    <row r="17" spans="1:8" x14ac:dyDescent="0.25">
      <c r="A17" t="str">
        <f>IF('Input Data'!C17&lt;&gt;"",TRIM('Input Data'!C17),"")</f>
        <v/>
      </c>
      <c r="B17" t="str">
        <f t="shared" si="0"/>
        <v/>
      </c>
      <c r="D17" t="str">
        <f>IF('Input Data'!E17&lt;&gt;"",TRIM('Input Data'!E17),"")</f>
        <v/>
      </c>
      <c r="E17" t="str">
        <f t="shared" si="1"/>
        <v/>
      </c>
      <c r="G17" t="str">
        <f>IF('Input Data'!H17&lt;&gt;"",TRIM('Input Data'!H17),"")</f>
        <v/>
      </c>
      <c r="H17" t="str">
        <f t="shared" si="2"/>
        <v/>
      </c>
    </row>
    <row r="18" spans="1:8" x14ac:dyDescent="0.25">
      <c r="A18" t="str">
        <f>IF('Input Data'!C18&lt;&gt;"",TRIM('Input Data'!C18),"")</f>
        <v/>
      </c>
      <c r="B18" t="str">
        <f t="shared" si="0"/>
        <v/>
      </c>
      <c r="D18" t="str">
        <f>IF('Input Data'!E18&lt;&gt;"",TRIM('Input Data'!E18),"")</f>
        <v/>
      </c>
      <c r="E18" t="str">
        <f t="shared" si="1"/>
        <v/>
      </c>
      <c r="G18" t="str">
        <f>IF('Input Data'!H18&lt;&gt;"",TRIM('Input Data'!H18),"")</f>
        <v/>
      </c>
      <c r="H18" t="str">
        <f t="shared" si="2"/>
        <v/>
      </c>
    </row>
    <row r="19" spans="1:8" x14ac:dyDescent="0.25">
      <c r="A19" t="str">
        <f>IF('Input Data'!C19&lt;&gt;"",TRIM('Input Data'!C19),"")</f>
        <v/>
      </c>
      <c r="B19" t="str">
        <f t="shared" si="0"/>
        <v/>
      </c>
      <c r="D19" t="str">
        <f>IF('Input Data'!E19&lt;&gt;"",TRIM('Input Data'!E19),"")</f>
        <v/>
      </c>
      <c r="E19" t="str">
        <f t="shared" si="1"/>
        <v/>
      </c>
      <c r="G19" t="str">
        <f>IF('Input Data'!H19&lt;&gt;"",TRIM('Input Data'!H19),"")</f>
        <v/>
      </c>
      <c r="H19" t="str">
        <f t="shared" si="2"/>
        <v/>
      </c>
    </row>
    <row r="20" spans="1:8" x14ac:dyDescent="0.25">
      <c r="A20" t="str">
        <f>IF('Input Data'!C20&lt;&gt;"",TRIM('Input Data'!C20),"")</f>
        <v/>
      </c>
      <c r="B20" t="str">
        <f t="shared" si="0"/>
        <v/>
      </c>
      <c r="D20" t="str">
        <f>IF('Input Data'!E20&lt;&gt;"",TRIM('Input Data'!E20),"")</f>
        <v/>
      </c>
      <c r="E20" t="str">
        <f t="shared" si="1"/>
        <v/>
      </c>
      <c r="G20" t="str">
        <f>IF('Input Data'!H20&lt;&gt;"",TRIM('Input Data'!H20),"")</f>
        <v/>
      </c>
      <c r="H20" t="str">
        <f t="shared" si="2"/>
        <v/>
      </c>
    </row>
    <row r="21" spans="1:8" x14ac:dyDescent="0.25">
      <c r="A21" t="str">
        <f>IF('Input Data'!C21&lt;&gt;"",TRIM('Input Data'!C21),"")</f>
        <v/>
      </c>
      <c r="B21" t="str">
        <f t="shared" si="0"/>
        <v/>
      </c>
      <c r="D21" t="str">
        <f>IF('Input Data'!E21&lt;&gt;"",TRIM('Input Data'!E21),"")</f>
        <v/>
      </c>
      <c r="E21" t="str">
        <f t="shared" si="1"/>
        <v/>
      </c>
      <c r="G21" t="str">
        <f>IF('Input Data'!H21&lt;&gt;"",TRIM('Input Data'!H21),"")</f>
        <v/>
      </c>
      <c r="H21" t="str">
        <f t="shared" si="2"/>
        <v/>
      </c>
    </row>
    <row r="22" spans="1:8" x14ac:dyDescent="0.25">
      <c r="A22" t="str">
        <f>IF('Input Data'!C22&lt;&gt;"",TRIM('Input Data'!C22),"")</f>
        <v/>
      </c>
      <c r="B22" t="str">
        <f t="shared" si="0"/>
        <v/>
      </c>
      <c r="D22" t="str">
        <f>IF('Input Data'!E22&lt;&gt;"",TRIM('Input Data'!E22),"")</f>
        <v/>
      </c>
      <c r="E22" t="str">
        <f t="shared" si="1"/>
        <v/>
      </c>
      <c r="G22" t="str">
        <f>IF('Input Data'!H22&lt;&gt;"",TRIM('Input Data'!H22),"")</f>
        <v/>
      </c>
      <c r="H22" t="str">
        <f t="shared" si="2"/>
        <v/>
      </c>
    </row>
    <row r="23" spans="1:8" x14ac:dyDescent="0.25">
      <c r="A23" t="str">
        <f>IF('Input Data'!C23&lt;&gt;"",TRIM('Input Data'!C23),"")</f>
        <v/>
      </c>
      <c r="B23" t="str">
        <f t="shared" si="0"/>
        <v/>
      </c>
      <c r="D23" t="str">
        <f>IF('Input Data'!E23&lt;&gt;"",TRIM('Input Data'!E23),"")</f>
        <v/>
      </c>
      <c r="E23" t="str">
        <f t="shared" si="1"/>
        <v/>
      </c>
      <c r="G23" t="str">
        <f>IF('Input Data'!H23&lt;&gt;"",TRIM('Input Data'!H23),"")</f>
        <v/>
      </c>
      <c r="H23" t="str">
        <f t="shared" si="2"/>
        <v/>
      </c>
    </row>
    <row r="24" spans="1:8" x14ac:dyDescent="0.25">
      <c r="A24" t="str">
        <f>IF('Input Data'!C24&lt;&gt;"",TRIM('Input Data'!C24),"")</f>
        <v/>
      </c>
      <c r="B24" t="str">
        <f t="shared" si="0"/>
        <v/>
      </c>
      <c r="D24" t="str">
        <f>IF('Input Data'!E24&lt;&gt;"",TRIM('Input Data'!E24),"")</f>
        <v/>
      </c>
      <c r="E24" t="str">
        <f t="shared" si="1"/>
        <v/>
      </c>
      <c r="G24" t="str">
        <f>IF('Input Data'!H24&lt;&gt;"",TRIM('Input Data'!H24),"")</f>
        <v/>
      </c>
      <c r="H24" t="str">
        <f t="shared" si="2"/>
        <v/>
      </c>
    </row>
    <row r="25" spans="1:8" x14ac:dyDescent="0.25">
      <c r="A25" t="str">
        <f>IF('Input Data'!C25&lt;&gt;"",TRIM('Input Data'!C25),"")</f>
        <v/>
      </c>
      <c r="B25" t="str">
        <f t="shared" si="0"/>
        <v/>
      </c>
      <c r="D25" t="str">
        <f>IF('Input Data'!E25&lt;&gt;"",TRIM('Input Data'!E25),"")</f>
        <v/>
      </c>
      <c r="E25" t="str">
        <f t="shared" si="1"/>
        <v/>
      </c>
      <c r="G25" t="str">
        <f>IF('Input Data'!H25&lt;&gt;"",TRIM('Input Data'!H25),"")</f>
        <v/>
      </c>
      <c r="H25" t="str">
        <f t="shared" si="2"/>
        <v/>
      </c>
    </row>
    <row r="26" spans="1:8" x14ac:dyDescent="0.25">
      <c r="A26" t="str">
        <f>IF('Input Data'!C26&lt;&gt;"",TRIM('Input Data'!C26),"")</f>
        <v/>
      </c>
      <c r="B26" t="str">
        <f t="shared" si="0"/>
        <v/>
      </c>
      <c r="D26" t="str">
        <f>IF('Input Data'!E26&lt;&gt;"",TRIM('Input Data'!E26),"")</f>
        <v/>
      </c>
      <c r="E26" t="str">
        <f t="shared" si="1"/>
        <v/>
      </c>
      <c r="G26" t="str">
        <f>IF('Input Data'!H26&lt;&gt;"",TRIM('Input Data'!H26),"")</f>
        <v/>
      </c>
      <c r="H26" t="str">
        <f t="shared" si="2"/>
        <v/>
      </c>
    </row>
    <row r="27" spans="1:8" x14ac:dyDescent="0.25">
      <c r="A27" t="str">
        <f>IF('Input Data'!C27&lt;&gt;"",TRIM('Input Data'!C27),"")</f>
        <v/>
      </c>
      <c r="B27" t="str">
        <f t="shared" si="0"/>
        <v/>
      </c>
      <c r="D27" t="str">
        <f>IF('Input Data'!E27&lt;&gt;"",TRIM('Input Data'!E27),"")</f>
        <v/>
      </c>
      <c r="E27" t="str">
        <f t="shared" si="1"/>
        <v/>
      </c>
      <c r="G27" t="str">
        <f>IF('Input Data'!H27&lt;&gt;"",TRIM('Input Data'!H27),"")</f>
        <v/>
      </c>
      <c r="H27" t="str">
        <f t="shared" si="2"/>
        <v/>
      </c>
    </row>
    <row r="28" spans="1:8" x14ac:dyDescent="0.25">
      <c r="A28" t="str">
        <f>IF('Input Data'!C28&lt;&gt;"",TRIM('Input Data'!C28),"")</f>
        <v/>
      </c>
      <c r="B28" t="str">
        <f t="shared" si="0"/>
        <v/>
      </c>
      <c r="D28" t="str">
        <f>IF('Input Data'!E28&lt;&gt;"",TRIM('Input Data'!E28),"")</f>
        <v/>
      </c>
      <c r="E28" t="str">
        <f t="shared" si="1"/>
        <v/>
      </c>
      <c r="G28" t="str">
        <f>IF('Input Data'!H28&lt;&gt;"",TRIM('Input Data'!H28),"")</f>
        <v/>
      </c>
      <c r="H28" t="str">
        <f t="shared" si="2"/>
        <v/>
      </c>
    </row>
    <row r="29" spans="1:8" x14ac:dyDescent="0.25">
      <c r="A29" t="str">
        <f>IF('Input Data'!C29&lt;&gt;"",TRIM('Input Data'!C29),"")</f>
        <v/>
      </c>
      <c r="B29" t="str">
        <f t="shared" si="0"/>
        <v/>
      </c>
      <c r="D29" t="str">
        <f>IF('Input Data'!E29&lt;&gt;"",TRIM('Input Data'!E29),"")</f>
        <v/>
      </c>
      <c r="E29" t="str">
        <f t="shared" si="1"/>
        <v/>
      </c>
      <c r="G29" t="str">
        <f>IF('Input Data'!H29&lt;&gt;"",TRIM('Input Data'!H29),"")</f>
        <v/>
      </c>
      <c r="H29" t="str">
        <f t="shared" si="2"/>
        <v/>
      </c>
    </row>
    <row r="30" spans="1:8" x14ac:dyDescent="0.25">
      <c r="A30" t="str">
        <f>IF('Input Data'!C30&lt;&gt;"",TRIM('Input Data'!C30),"")</f>
        <v/>
      </c>
      <c r="B30" t="str">
        <f t="shared" si="0"/>
        <v/>
      </c>
      <c r="D30" t="str">
        <f>IF('Input Data'!E30&lt;&gt;"",TRIM('Input Data'!E30),"")</f>
        <v/>
      </c>
      <c r="E30" t="str">
        <f t="shared" si="1"/>
        <v/>
      </c>
      <c r="G30" t="str">
        <f>IF('Input Data'!H30&lt;&gt;"",TRIM('Input Data'!H30),"")</f>
        <v/>
      </c>
      <c r="H30" t="str">
        <f t="shared" si="2"/>
        <v/>
      </c>
    </row>
    <row r="31" spans="1:8" x14ac:dyDescent="0.25">
      <c r="A31" t="str">
        <f>IF('Input Data'!C31&lt;&gt;"",TRIM('Input Data'!C31),"")</f>
        <v/>
      </c>
      <c r="B31" t="str">
        <f t="shared" si="0"/>
        <v/>
      </c>
      <c r="D31" t="str">
        <f>IF('Input Data'!E31&lt;&gt;"",TRIM('Input Data'!E31),"")</f>
        <v/>
      </c>
      <c r="E31" t="str">
        <f t="shared" si="1"/>
        <v/>
      </c>
      <c r="G31" t="str">
        <f>IF('Input Data'!H31&lt;&gt;"",TRIM('Input Data'!H31),"")</f>
        <v/>
      </c>
      <c r="H31" t="str">
        <f t="shared" si="2"/>
        <v/>
      </c>
    </row>
    <row r="32" spans="1:8" x14ac:dyDescent="0.25">
      <c r="A32" t="str">
        <f>IF('Input Data'!C32&lt;&gt;"",TRIM('Input Data'!C32),"")</f>
        <v/>
      </c>
      <c r="B32" t="str">
        <f t="shared" si="0"/>
        <v/>
      </c>
      <c r="D32" t="str">
        <f>IF('Input Data'!E32&lt;&gt;"",TRIM('Input Data'!E32),"")</f>
        <v/>
      </c>
      <c r="E32" t="str">
        <f t="shared" si="1"/>
        <v/>
      </c>
      <c r="G32" t="str">
        <f>IF('Input Data'!H32&lt;&gt;"",TRIM('Input Data'!H32),"")</f>
        <v/>
      </c>
      <c r="H32" t="str">
        <f t="shared" si="2"/>
        <v/>
      </c>
    </row>
    <row r="33" spans="1:8" x14ac:dyDescent="0.25">
      <c r="A33" t="str">
        <f>IF('Input Data'!C33&lt;&gt;"",TRIM('Input Data'!C33),"")</f>
        <v/>
      </c>
      <c r="B33" t="str">
        <f t="shared" si="0"/>
        <v/>
      </c>
      <c r="D33" t="str">
        <f>IF('Input Data'!E33&lt;&gt;"",TRIM('Input Data'!E33),"")</f>
        <v/>
      </c>
      <c r="E33" t="str">
        <f t="shared" si="1"/>
        <v/>
      </c>
      <c r="G33" t="str">
        <f>IF('Input Data'!H33&lt;&gt;"",TRIM('Input Data'!H33),"")</f>
        <v/>
      </c>
      <c r="H33" t="str">
        <f t="shared" si="2"/>
        <v/>
      </c>
    </row>
    <row r="34" spans="1:8" x14ac:dyDescent="0.25">
      <c r="A34" t="str">
        <f>IF('Input Data'!C34&lt;&gt;"",TRIM('Input Data'!C34),"")</f>
        <v/>
      </c>
      <c r="B34" t="str">
        <f t="shared" si="0"/>
        <v/>
      </c>
      <c r="D34" t="str">
        <f>IF('Input Data'!E34&lt;&gt;"",TRIM('Input Data'!E34),"")</f>
        <v/>
      </c>
      <c r="E34" t="str">
        <f t="shared" si="1"/>
        <v/>
      </c>
      <c r="G34" t="str">
        <f>IF('Input Data'!H34&lt;&gt;"",TRIM('Input Data'!H34),"")</f>
        <v/>
      </c>
      <c r="H34" t="str">
        <f t="shared" si="2"/>
        <v/>
      </c>
    </row>
    <row r="35" spans="1:8" x14ac:dyDescent="0.25">
      <c r="A35" t="str">
        <f>IF('Input Data'!C35&lt;&gt;"",TRIM('Input Data'!C35),"")</f>
        <v/>
      </c>
      <c r="B35" t="str">
        <f t="shared" si="0"/>
        <v/>
      </c>
      <c r="D35" t="str">
        <f>IF('Input Data'!E35&lt;&gt;"",TRIM('Input Data'!E35),"")</f>
        <v/>
      </c>
      <c r="E35" t="str">
        <f t="shared" si="1"/>
        <v/>
      </c>
      <c r="G35" t="str">
        <f>IF('Input Data'!H35&lt;&gt;"",TRIM('Input Data'!H35),"")</f>
        <v/>
      </c>
      <c r="H35" t="str">
        <f t="shared" si="2"/>
        <v/>
      </c>
    </row>
    <row r="36" spans="1:8" x14ac:dyDescent="0.25">
      <c r="A36" t="str">
        <f>IF('Input Data'!C36&lt;&gt;"",TRIM('Input Data'!C36),"")</f>
        <v/>
      </c>
      <c r="B36" t="str">
        <f t="shared" si="0"/>
        <v/>
      </c>
      <c r="D36" t="str">
        <f>IF('Input Data'!E36&lt;&gt;"",TRIM('Input Data'!E36),"")</f>
        <v/>
      </c>
      <c r="E36" t="str">
        <f t="shared" si="1"/>
        <v/>
      </c>
      <c r="G36" t="str">
        <f>IF('Input Data'!H36&lt;&gt;"",TRIM('Input Data'!H36),"")</f>
        <v/>
      </c>
      <c r="H36" t="str">
        <f t="shared" si="2"/>
        <v/>
      </c>
    </row>
    <row r="37" spans="1:8" x14ac:dyDescent="0.25">
      <c r="A37" t="str">
        <f>IF('Input Data'!C37&lt;&gt;"",TRIM('Input Data'!C37),"")</f>
        <v/>
      </c>
      <c r="B37" t="str">
        <f t="shared" si="0"/>
        <v/>
      </c>
      <c r="D37" t="str">
        <f>IF('Input Data'!E37&lt;&gt;"",TRIM('Input Data'!E37),"")</f>
        <v/>
      </c>
      <c r="E37" t="str">
        <f t="shared" si="1"/>
        <v/>
      </c>
      <c r="G37" t="str">
        <f>IF('Input Data'!H37&lt;&gt;"",TRIM('Input Data'!H37),"")</f>
        <v/>
      </c>
      <c r="H37" t="str">
        <f t="shared" si="2"/>
        <v/>
      </c>
    </row>
    <row r="38" spans="1:8" x14ac:dyDescent="0.25">
      <c r="A38" t="str">
        <f>IF('Input Data'!C38&lt;&gt;"",TRIM('Input Data'!C38),"")</f>
        <v/>
      </c>
      <c r="B38" t="str">
        <f t="shared" si="0"/>
        <v/>
      </c>
      <c r="D38" t="str">
        <f>IF('Input Data'!E38&lt;&gt;"",TRIM('Input Data'!E38),"")</f>
        <v/>
      </c>
      <c r="E38" t="str">
        <f t="shared" si="1"/>
        <v/>
      </c>
      <c r="G38" t="str">
        <f>IF('Input Data'!H38&lt;&gt;"",TRIM('Input Data'!H38),"")</f>
        <v/>
      </c>
      <c r="H38" t="str">
        <f t="shared" si="2"/>
        <v/>
      </c>
    </row>
    <row r="39" spans="1:8" x14ac:dyDescent="0.25">
      <c r="A39" t="str">
        <f>IF('Input Data'!C39&lt;&gt;"",TRIM('Input Data'!C39),"")</f>
        <v/>
      </c>
      <c r="B39" t="str">
        <f t="shared" si="0"/>
        <v/>
      </c>
      <c r="D39" t="str">
        <f>IF('Input Data'!E39&lt;&gt;"",TRIM('Input Data'!E39),"")</f>
        <v/>
      </c>
      <c r="E39" t="str">
        <f t="shared" si="1"/>
        <v/>
      </c>
      <c r="G39" t="str">
        <f>IF('Input Data'!H39&lt;&gt;"",TRIM('Input Data'!H39),"")</f>
        <v/>
      </c>
      <c r="H39" t="str">
        <f t="shared" si="2"/>
        <v/>
      </c>
    </row>
    <row r="40" spans="1:8" x14ac:dyDescent="0.25">
      <c r="A40" t="str">
        <f>IF('Input Data'!C40&lt;&gt;"",TRIM('Input Data'!C40),"")</f>
        <v/>
      </c>
      <c r="B40" t="str">
        <f t="shared" si="0"/>
        <v/>
      </c>
      <c r="D40" t="str">
        <f>IF('Input Data'!E40&lt;&gt;"",TRIM('Input Data'!E40),"")</f>
        <v/>
      </c>
      <c r="E40" t="str">
        <f t="shared" si="1"/>
        <v/>
      </c>
      <c r="G40" t="str">
        <f>IF('Input Data'!H40&lt;&gt;"",TRIM('Input Data'!H40),"")</f>
        <v/>
      </c>
      <c r="H40" t="str">
        <f t="shared" si="2"/>
        <v/>
      </c>
    </row>
    <row r="41" spans="1:8" x14ac:dyDescent="0.25">
      <c r="A41" t="str">
        <f>IF('Input Data'!C41&lt;&gt;"",TRIM('Input Data'!C41),"")</f>
        <v/>
      </c>
      <c r="B41" t="str">
        <f t="shared" si="0"/>
        <v/>
      </c>
      <c r="D41" t="str">
        <f>IF('Input Data'!E41&lt;&gt;"",TRIM('Input Data'!E41),"")</f>
        <v/>
      </c>
      <c r="E41" t="str">
        <f t="shared" si="1"/>
        <v/>
      </c>
      <c r="G41" t="str">
        <f>IF('Input Data'!H41&lt;&gt;"",TRIM('Input Data'!H41),"")</f>
        <v/>
      </c>
      <c r="H41" t="str">
        <f t="shared" si="2"/>
        <v/>
      </c>
    </row>
    <row r="42" spans="1:8" x14ac:dyDescent="0.25">
      <c r="A42" t="str">
        <f>IF('Input Data'!C42&lt;&gt;"",TRIM('Input Data'!C42),"")</f>
        <v/>
      </c>
      <c r="B42" t="str">
        <f t="shared" si="0"/>
        <v/>
      </c>
      <c r="D42" t="str">
        <f>IF('Input Data'!E42&lt;&gt;"",TRIM('Input Data'!E42),"")</f>
        <v/>
      </c>
      <c r="E42" t="str">
        <f t="shared" si="1"/>
        <v/>
      </c>
      <c r="G42" t="str">
        <f>IF('Input Data'!H42&lt;&gt;"",TRIM('Input Data'!H42),"")</f>
        <v/>
      </c>
      <c r="H42" t="str">
        <f t="shared" si="2"/>
        <v/>
      </c>
    </row>
    <row r="43" spans="1:8" x14ac:dyDescent="0.25">
      <c r="A43" t="str">
        <f>IF('Input Data'!C43&lt;&gt;"",TRIM('Input Data'!C43),"")</f>
        <v/>
      </c>
      <c r="B43" t="str">
        <f t="shared" si="0"/>
        <v/>
      </c>
      <c r="D43" t="str">
        <f>IF('Input Data'!E43&lt;&gt;"",TRIM('Input Data'!E43),"")</f>
        <v/>
      </c>
      <c r="E43" t="str">
        <f t="shared" si="1"/>
        <v/>
      </c>
      <c r="G43" t="str">
        <f>IF('Input Data'!H43&lt;&gt;"",TRIM('Input Data'!H43),"")</f>
        <v/>
      </c>
      <c r="H43" t="str">
        <f t="shared" si="2"/>
        <v/>
      </c>
    </row>
    <row r="44" spans="1:8" x14ac:dyDescent="0.25">
      <c r="A44" t="str">
        <f>IF('Input Data'!C44&lt;&gt;"",TRIM('Input Data'!C44),"")</f>
        <v/>
      </c>
      <c r="B44" t="str">
        <f t="shared" si="0"/>
        <v/>
      </c>
      <c r="D44" t="str">
        <f>IF('Input Data'!E44&lt;&gt;"",TRIM('Input Data'!E44),"")</f>
        <v/>
      </c>
      <c r="E44" t="str">
        <f t="shared" si="1"/>
        <v/>
      </c>
      <c r="G44" t="str">
        <f>IF('Input Data'!H44&lt;&gt;"",TRIM('Input Data'!H44),"")</f>
        <v/>
      </c>
      <c r="H44" t="str">
        <f t="shared" si="2"/>
        <v/>
      </c>
    </row>
    <row r="45" spans="1:8" x14ac:dyDescent="0.25">
      <c r="A45" t="str">
        <f>IF('Input Data'!C45&lt;&gt;"",TRIM('Input Data'!C45),"")</f>
        <v/>
      </c>
      <c r="B45" t="str">
        <f t="shared" si="0"/>
        <v/>
      </c>
      <c r="D45" t="str">
        <f>IF('Input Data'!E45&lt;&gt;"",TRIM('Input Data'!E45),"")</f>
        <v/>
      </c>
      <c r="E45" t="str">
        <f t="shared" si="1"/>
        <v/>
      </c>
      <c r="G45" t="str">
        <f>IF('Input Data'!H45&lt;&gt;"",TRIM('Input Data'!H45),"")</f>
        <v/>
      </c>
      <c r="H45" t="str">
        <f t="shared" si="2"/>
        <v/>
      </c>
    </row>
    <row r="46" spans="1:8" x14ac:dyDescent="0.25">
      <c r="A46" t="str">
        <f>IF('Input Data'!C46&lt;&gt;"",TRIM('Input Data'!C46),"")</f>
        <v/>
      </c>
      <c r="B46" t="str">
        <f t="shared" si="0"/>
        <v/>
      </c>
      <c r="D46" t="str">
        <f>IF('Input Data'!E46&lt;&gt;"",TRIM('Input Data'!E46),"")</f>
        <v/>
      </c>
      <c r="E46" t="str">
        <f t="shared" si="1"/>
        <v/>
      </c>
      <c r="G46" t="str">
        <f>IF('Input Data'!H46&lt;&gt;"",TRIM('Input Data'!H46),"")</f>
        <v/>
      </c>
      <c r="H46" t="str">
        <f t="shared" si="2"/>
        <v/>
      </c>
    </row>
    <row r="47" spans="1:8" x14ac:dyDescent="0.25">
      <c r="A47" t="str">
        <f>IF('Input Data'!C47&lt;&gt;"",TRIM('Input Data'!C47),"")</f>
        <v/>
      </c>
      <c r="B47" t="str">
        <f t="shared" si="0"/>
        <v/>
      </c>
      <c r="D47" t="str">
        <f>IF('Input Data'!E47&lt;&gt;"",TRIM('Input Data'!E47),"")</f>
        <v/>
      </c>
      <c r="E47" t="str">
        <f t="shared" si="1"/>
        <v/>
      </c>
      <c r="G47" t="str">
        <f>IF('Input Data'!H47&lt;&gt;"",TRIM('Input Data'!H47),"")</f>
        <v/>
      </c>
      <c r="H47" t="str">
        <f t="shared" si="2"/>
        <v/>
      </c>
    </row>
    <row r="48" spans="1:8" x14ac:dyDescent="0.25">
      <c r="A48" t="str">
        <f>IF('Input Data'!C48&lt;&gt;"",TRIM('Input Data'!C48),"")</f>
        <v/>
      </c>
      <c r="B48" t="str">
        <f t="shared" si="0"/>
        <v/>
      </c>
      <c r="D48" t="str">
        <f>IF('Input Data'!E48&lt;&gt;"",TRIM('Input Data'!E48),"")</f>
        <v/>
      </c>
      <c r="E48" t="str">
        <f t="shared" si="1"/>
        <v/>
      </c>
      <c r="G48" t="str">
        <f>IF('Input Data'!H48&lt;&gt;"",TRIM('Input Data'!H48),"")</f>
        <v/>
      </c>
      <c r="H48" t="str">
        <f t="shared" si="2"/>
        <v/>
      </c>
    </row>
    <row r="49" spans="1:8" x14ac:dyDescent="0.25">
      <c r="A49" t="str">
        <f>IF('Input Data'!C49&lt;&gt;"",TRIM('Input Data'!C49),"")</f>
        <v/>
      </c>
      <c r="B49" t="str">
        <f t="shared" si="0"/>
        <v/>
      </c>
      <c r="D49" t="str">
        <f>IF('Input Data'!E49&lt;&gt;"",TRIM('Input Data'!E49),"")</f>
        <v/>
      </c>
      <c r="E49" t="str">
        <f t="shared" si="1"/>
        <v/>
      </c>
      <c r="G49" t="str">
        <f>IF('Input Data'!H49&lt;&gt;"",TRIM('Input Data'!H49),"")</f>
        <v/>
      </c>
      <c r="H49" t="str">
        <f t="shared" si="2"/>
        <v/>
      </c>
    </row>
    <row r="50" spans="1:8" x14ac:dyDescent="0.25">
      <c r="A50" t="str">
        <f>IF('Input Data'!C50&lt;&gt;"",TRIM('Input Data'!C50),"")</f>
        <v/>
      </c>
      <c r="B50" t="str">
        <f t="shared" si="0"/>
        <v/>
      </c>
      <c r="D50" t="str">
        <f>IF('Input Data'!E50&lt;&gt;"",TRIM('Input Data'!E50),"")</f>
        <v/>
      </c>
      <c r="E50" t="str">
        <f t="shared" si="1"/>
        <v/>
      </c>
      <c r="G50" t="str">
        <f>IF('Input Data'!H50&lt;&gt;"",TRIM('Input Data'!H50),"")</f>
        <v/>
      </c>
      <c r="H50" t="str">
        <f t="shared" si="2"/>
        <v/>
      </c>
    </row>
    <row r="51" spans="1:8" x14ac:dyDescent="0.25">
      <c r="A51" t="str">
        <f>IF('Input Data'!C51&lt;&gt;"",TRIM('Input Data'!C51),"")</f>
        <v/>
      </c>
      <c r="B51" t="str">
        <f t="shared" si="0"/>
        <v/>
      </c>
      <c r="D51" t="str">
        <f>IF('Input Data'!E51&lt;&gt;"",TRIM('Input Data'!E51),"")</f>
        <v/>
      </c>
      <c r="E51" t="str">
        <f t="shared" si="1"/>
        <v/>
      </c>
      <c r="G51" t="str">
        <f>IF('Input Data'!H51&lt;&gt;"",TRIM('Input Data'!H51),"")</f>
        <v/>
      </c>
      <c r="H51" t="str">
        <f t="shared" si="2"/>
        <v/>
      </c>
    </row>
    <row r="52" spans="1:8" x14ac:dyDescent="0.25">
      <c r="A52" t="str">
        <f>IF('Input Data'!C52&lt;&gt;"",TRIM('Input Data'!C52),"")</f>
        <v/>
      </c>
      <c r="B52" t="str">
        <f t="shared" si="0"/>
        <v/>
      </c>
      <c r="D52" t="str">
        <f>IF('Input Data'!E52&lt;&gt;"",TRIM('Input Data'!E52),"")</f>
        <v/>
      </c>
      <c r="E52" t="str">
        <f t="shared" si="1"/>
        <v/>
      </c>
      <c r="G52" t="str">
        <f>IF('Input Data'!H52&lt;&gt;"",TRIM('Input Data'!H52),"")</f>
        <v/>
      </c>
      <c r="H52" t="str">
        <f t="shared" si="2"/>
        <v/>
      </c>
    </row>
    <row r="53" spans="1:8" x14ac:dyDescent="0.25">
      <c r="A53" t="str">
        <f>IF('Input Data'!C53&lt;&gt;"",TRIM('Input Data'!C53),"")</f>
        <v/>
      </c>
      <c r="B53" t="str">
        <f t="shared" si="0"/>
        <v/>
      </c>
      <c r="D53" t="str">
        <f>IF('Input Data'!E53&lt;&gt;"",TRIM('Input Data'!E53),"")</f>
        <v/>
      </c>
      <c r="E53" t="str">
        <f t="shared" si="1"/>
        <v/>
      </c>
      <c r="G53" t="str">
        <f>IF('Input Data'!H53&lt;&gt;"",TRIM('Input Data'!H53),"")</f>
        <v/>
      </c>
      <c r="H53" t="str">
        <f t="shared" si="2"/>
        <v/>
      </c>
    </row>
    <row r="54" spans="1:8" x14ac:dyDescent="0.25">
      <c r="A54" t="str">
        <f>IF('Input Data'!C54&lt;&gt;"",TRIM('Input Data'!C54),"")</f>
        <v/>
      </c>
      <c r="B54" t="str">
        <f t="shared" si="0"/>
        <v/>
      </c>
      <c r="D54" t="str">
        <f>IF('Input Data'!E54&lt;&gt;"",TRIM('Input Data'!E54),"")</f>
        <v/>
      </c>
      <c r="E54" t="str">
        <f t="shared" si="1"/>
        <v/>
      </c>
      <c r="G54" t="str">
        <f>IF('Input Data'!H54&lt;&gt;"",TRIM('Input Data'!H54),"")</f>
        <v/>
      </c>
      <c r="H54" t="str">
        <f t="shared" si="2"/>
        <v/>
      </c>
    </row>
    <row r="55" spans="1:8" x14ac:dyDescent="0.25">
      <c r="A55" t="str">
        <f>IF('Input Data'!C55&lt;&gt;"",TRIM('Input Data'!C55),"")</f>
        <v/>
      </c>
      <c r="B55" t="str">
        <f t="shared" si="0"/>
        <v/>
      </c>
      <c r="D55" t="str">
        <f>IF('Input Data'!E55&lt;&gt;"",TRIM('Input Data'!E55),"")</f>
        <v/>
      </c>
      <c r="E55" t="str">
        <f t="shared" si="1"/>
        <v/>
      </c>
      <c r="G55" t="str">
        <f>IF('Input Data'!H55&lt;&gt;"",TRIM('Input Data'!H55),"")</f>
        <v/>
      </c>
      <c r="H55" t="str">
        <f t="shared" si="2"/>
        <v/>
      </c>
    </row>
    <row r="56" spans="1:8" x14ac:dyDescent="0.25">
      <c r="A56" t="str">
        <f>IF('Input Data'!C56&lt;&gt;"",TRIM('Input Data'!C56),"")</f>
        <v/>
      </c>
      <c r="B56" t="str">
        <f t="shared" si="0"/>
        <v/>
      </c>
      <c r="D56" t="str">
        <f>IF('Input Data'!E56&lt;&gt;"",TRIM('Input Data'!E56),"")</f>
        <v/>
      </c>
      <c r="E56" t="str">
        <f t="shared" si="1"/>
        <v/>
      </c>
      <c r="G56" t="str">
        <f>IF('Input Data'!H56&lt;&gt;"",TRIM('Input Data'!H56),"")</f>
        <v/>
      </c>
      <c r="H56" t="str">
        <f t="shared" si="2"/>
        <v/>
      </c>
    </row>
    <row r="57" spans="1:8" x14ac:dyDescent="0.25">
      <c r="A57" t="str">
        <f>IF('Input Data'!C57&lt;&gt;"",TRIM('Input Data'!C57),"")</f>
        <v/>
      </c>
      <c r="B57" t="str">
        <f t="shared" si="0"/>
        <v/>
      </c>
      <c r="D57" t="str">
        <f>IF('Input Data'!E57&lt;&gt;"",TRIM('Input Data'!E57),"")</f>
        <v/>
      </c>
      <c r="E57" t="str">
        <f t="shared" si="1"/>
        <v/>
      </c>
      <c r="G57" t="str">
        <f>IF('Input Data'!H57&lt;&gt;"",TRIM('Input Data'!H57),"")</f>
        <v/>
      </c>
      <c r="H57" t="str">
        <f t="shared" si="2"/>
        <v/>
      </c>
    </row>
    <row r="58" spans="1:8" x14ac:dyDescent="0.25">
      <c r="A58" t="str">
        <f>IF('Input Data'!C58&lt;&gt;"",TRIM('Input Data'!C58),"")</f>
        <v/>
      </c>
      <c r="B58" t="str">
        <f t="shared" si="0"/>
        <v/>
      </c>
      <c r="D58" t="str">
        <f>IF('Input Data'!E58&lt;&gt;"",TRIM('Input Data'!E58),"")</f>
        <v/>
      </c>
      <c r="E58" t="str">
        <f t="shared" si="1"/>
        <v/>
      </c>
      <c r="G58" t="str">
        <f>IF('Input Data'!H58&lt;&gt;"",TRIM('Input Data'!H58),"")</f>
        <v/>
      </c>
      <c r="H58" t="str">
        <f t="shared" si="2"/>
        <v/>
      </c>
    </row>
    <row r="59" spans="1:8" x14ac:dyDescent="0.25">
      <c r="A59" t="str">
        <f>IF('Input Data'!C59&lt;&gt;"",TRIM('Input Data'!C59),"")</f>
        <v/>
      </c>
      <c r="B59" t="str">
        <f t="shared" si="0"/>
        <v/>
      </c>
      <c r="D59" t="str">
        <f>IF('Input Data'!E59&lt;&gt;"",TRIM('Input Data'!E59),"")</f>
        <v/>
      </c>
      <c r="E59" t="str">
        <f t="shared" si="1"/>
        <v/>
      </c>
      <c r="G59" t="str">
        <f>IF('Input Data'!H59&lt;&gt;"",TRIM('Input Data'!H59),"")</f>
        <v/>
      </c>
      <c r="H59" t="str">
        <f t="shared" si="2"/>
        <v/>
      </c>
    </row>
    <row r="60" spans="1:8" x14ac:dyDescent="0.25">
      <c r="A60" t="str">
        <f>IF('Input Data'!C60&lt;&gt;"",TRIM('Input Data'!C60),"")</f>
        <v/>
      </c>
      <c r="B60" t="str">
        <f t="shared" si="0"/>
        <v/>
      </c>
      <c r="D60" t="str">
        <f>IF('Input Data'!E60&lt;&gt;"",TRIM('Input Data'!E60),"")</f>
        <v/>
      </c>
      <c r="E60" t="str">
        <f t="shared" si="1"/>
        <v/>
      </c>
      <c r="G60" t="str">
        <f>IF('Input Data'!H60&lt;&gt;"",TRIM('Input Data'!H60),"")</f>
        <v/>
      </c>
      <c r="H60" t="str">
        <f t="shared" si="2"/>
        <v/>
      </c>
    </row>
    <row r="61" spans="1:8" x14ac:dyDescent="0.25">
      <c r="A61" t="str" cm="1">
        <f t="array" ref="A61">_xlfn.IFS('Input Data'!C61&lt;&gt;"",'Input Data'!C61,'Input Data'!C61="","")</f>
        <v/>
      </c>
      <c r="B61" t="str">
        <f t="shared" si="0"/>
        <v/>
      </c>
      <c r="D61" t="str" cm="1">
        <f t="array" ref="D61">_xlfn.IFS('Input Data'!E61&lt;&gt;"",'Input Data'!E61,'Input Data'!C61="","")</f>
        <v/>
      </c>
      <c r="E61" t="str">
        <f t="shared" si="1"/>
        <v/>
      </c>
      <c r="G61" t="str" cm="1">
        <f t="array" ref="G61">_xlfn.IFS('Input Data'!H61&lt;&gt;"",'Input Data'!H61,'Input Data'!H61="","")</f>
        <v/>
      </c>
      <c r="H61" t="str">
        <f t="shared" si="2"/>
        <v/>
      </c>
    </row>
    <row r="62" spans="1:8" x14ac:dyDescent="0.25">
      <c r="A62" t="str" cm="1">
        <f t="array" ref="A62">_xlfn.IFS('Input Data'!C62&lt;&gt;"",'Input Data'!C62,'Input Data'!C62="","")</f>
        <v/>
      </c>
      <c r="B62" t="str">
        <f t="shared" si="0"/>
        <v/>
      </c>
      <c r="D62" t="str" cm="1">
        <f t="array" ref="D62">_xlfn.IFS('Input Data'!E62&lt;&gt;"",'Input Data'!E62,'Input Data'!C62="","")</f>
        <v/>
      </c>
      <c r="E62" t="str">
        <f t="shared" si="1"/>
        <v/>
      </c>
      <c r="G62" t="str" cm="1">
        <f t="array" ref="G62">_xlfn.IFS('Input Data'!H62&lt;&gt;"",'Input Data'!H62,'Input Data'!H62="","")</f>
        <v/>
      </c>
      <c r="H62" t="str">
        <f t="shared" si="2"/>
        <v/>
      </c>
    </row>
  </sheetData>
  <dataConsolidate leftLabels="1">
    <dataRefs count="1">
      <dataRef ref="G1:H60" sheet="Modifying Data"/>
    </dataRefs>
  </dataConsolid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13"/>
  <sheetViews>
    <sheetView workbookViewId="0">
      <selection activeCell="C3" sqref="C3"/>
    </sheetView>
  </sheetViews>
  <sheetFormatPr defaultRowHeight="15" x14ac:dyDescent="0.25"/>
  <cols>
    <col min="2" max="2" width="25.85546875" customWidth="1"/>
    <col min="3" max="5" width="12.85546875" customWidth="1"/>
  </cols>
  <sheetData>
    <row r="2" spans="2:5" x14ac:dyDescent="0.25">
      <c r="B2" t="s">
        <v>24</v>
      </c>
      <c r="C2">
        <f>COUNTA('Input Data'!C2:C100)</f>
        <v>0</v>
      </c>
    </row>
    <row r="3" spans="2:5" x14ac:dyDescent="0.25">
      <c r="B3" t="s">
        <v>25</v>
      </c>
      <c r="C3" t="e">
        <f>"Mean: " &amp; ROUND(AVERAGE('Input Data'!K:K),2)</f>
        <v>#DIV/0!</v>
      </c>
      <c r="D3" t="e">
        <f>"Median: " &amp; ROUND(MEDIAN('Input Data'!K:K),2)</f>
        <v>#NUM!</v>
      </c>
      <c r="E3" t="str">
        <f>"Range: " &amp; MIN('Input Data'!K:K) &amp;" - " &amp; MAX('Input Data'!K:K)</f>
        <v>Range: 0 - 0</v>
      </c>
    </row>
    <row r="4" spans="2:5" x14ac:dyDescent="0.25">
      <c r="B4" t="s">
        <v>26</v>
      </c>
      <c r="C4">
        <f>COUNTIF('Input Data'!M:M,"N") + COUNTIF('Input Data'!O:O, "N")</f>
        <v>0</v>
      </c>
    </row>
    <row r="5" spans="2:5" x14ac:dyDescent="0.25">
      <c r="B5" t="s">
        <v>27</v>
      </c>
      <c r="C5">
        <f>COUNTIFS('Input Data'!N2:N1000, "&lt;&gt;N*", 'Input Data'!N2:N1000, "&lt;&gt;", 'Input Data'!N2:N1000, "&lt;&gt;n*")</f>
        <v>0</v>
      </c>
    </row>
    <row r="6" spans="2:5" x14ac:dyDescent="0.25">
      <c r="B6" t="s">
        <v>28</v>
      </c>
      <c r="C6">
        <f>COUNTIF('Input Data'!R:R,"Y*")</f>
        <v>0</v>
      </c>
    </row>
    <row r="7" spans="2:5" x14ac:dyDescent="0.25">
      <c r="B7" t="s">
        <v>29</v>
      </c>
      <c r="C7" t="e">
        <f>"Mean: " &amp; ROUND(AVERAGE('Input Data'!T:T),1)</f>
        <v>#DIV/0!</v>
      </c>
      <c r="D7" t="e">
        <f>"Median: " &amp; ROUND(MEDIAN('Input Data'!T:T),1)</f>
        <v>#NUM!</v>
      </c>
      <c r="E7" t="str">
        <f>"Range: " &amp; MIN('Input Data'!T:T) &amp;" - " &amp; MAX('Input Data'!T:T)</f>
        <v>Range: 0 - 0</v>
      </c>
    </row>
    <row r="8" spans="2:5" x14ac:dyDescent="0.25">
      <c r="B8" t="s">
        <v>30</v>
      </c>
      <c r="C8">
        <f>COUNTIF('Input Data'!V:V,"Y*")</f>
        <v>0</v>
      </c>
    </row>
    <row r="9" spans="2:5" x14ac:dyDescent="0.25">
      <c r="B9" t="s">
        <v>31</v>
      </c>
      <c r="C9" t="e">
        <f>"Mean: " &amp; ROUND(AVERAGE('Input Data'!W:W),1)</f>
        <v>#DIV/0!</v>
      </c>
      <c r="D9" t="e">
        <f>"Median: " &amp; ROUND(MEDIAN('Input Data'!W:W),1)</f>
        <v>#NUM!</v>
      </c>
      <c r="E9" t="str">
        <f>"Range: " &amp; MIN('Input Data'!W:W) &amp;" - " &amp; MAX('Input Data'!W:W)</f>
        <v>Range: 0 - 0</v>
      </c>
    </row>
    <row r="10" spans="2:5" x14ac:dyDescent="0.25">
      <c r="B10" t="s">
        <v>32</v>
      </c>
      <c r="C10">
        <f>COUNTIFS('Input Data'!C:C,"E*",'Input Data'!L:L,"&lt;&gt;N*")</f>
        <v>0</v>
      </c>
    </row>
    <row r="12" spans="2:5" x14ac:dyDescent="0.25">
      <c r="B12" s="3">
        <f>EDATE('Input Data'!B2,1)</f>
        <v>31</v>
      </c>
    </row>
    <row r="13" spans="2:5" x14ac:dyDescent="0.25">
      <c r="B13" t="str">
        <f>"M&amp;M - " &amp; TEXT(B12,"mmmm")</f>
        <v>M&amp;M - January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Data</vt:lpstr>
      <vt:lpstr>Modifying Data</vt:lpstr>
      <vt:lpstr>Output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Rumes Kanna</dc:creator>
  <cp:lastModifiedBy>Rumes Sriamareswaran</cp:lastModifiedBy>
  <dcterms:created xsi:type="dcterms:W3CDTF">2023-06-23T06:42:42Z</dcterms:created>
  <dcterms:modified xsi:type="dcterms:W3CDTF">2023-06-26T05:04:59Z</dcterms:modified>
</cp:coreProperties>
</file>